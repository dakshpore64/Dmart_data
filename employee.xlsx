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13_ncr:1_{F5590230-16B9-4FB0-8DCD-0440B6BCB36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mploye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2" l="1"/>
  <c r="C16" i="2"/>
  <c r="D14" i="2"/>
  <c r="B14" i="2"/>
  <c r="D13" i="2"/>
  <c r="B13" i="2"/>
  <c r="D14" i="1"/>
  <c r="D13" i="1"/>
  <c r="D12" i="1"/>
</calcChain>
</file>

<file path=xl/sharedStrings.xml><?xml version="1.0" encoding="utf-8"?>
<sst xmlns="http://schemas.openxmlformats.org/spreadsheetml/2006/main" count="73" uniqueCount="33">
  <si>
    <t>Empid</t>
  </si>
  <si>
    <t>Empname</t>
  </si>
  <si>
    <t>Age</t>
  </si>
  <si>
    <t>Salary</t>
  </si>
  <si>
    <t>DOB</t>
  </si>
  <si>
    <t>City</t>
  </si>
  <si>
    <t>Rohan Pandey</t>
  </si>
  <si>
    <t>10-05-2000</t>
  </si>
  <si>
    <t>Indore</t>
  </si>
  <si>
    <t>Tina</t>
  </si>
  <si>
    <t>05-09-1999</t>
  </si>
  <si>
    <t>Mumbai</t>
  </si>
  <si>
    <t>Sunita</t>
  </si>
  <si>
    <t>23-10-1997</t>
  </si>
  <si>
    <t>Pune</t>
  </si>
  <si>
    <t>Anu</t>
  </si>
  <si>
    <t>13-08-2004</t>
  </si>
  <si>
    <t>Geeta</t>
  </si>
  <si>
    <t>21-03-2000</t>
  </si>
  <si>
    <t>Suresh</t>
  </si>
  <si>
    <t>19-03-1999</t>
  </si>
  <si>
    <t>Kamal</t>
  </si>
  <si>
    <t>26-12-2000</t>
  </si>
  <si>
    <t>Rekha</t>
  </si>
  <si>
    <t>25-08-2002</t>
  </si>
  <si>
    <t>10-09-1998</t>
  </si>
  <si>
    <t>total salary</t>
  </si>
  <si>
    <t>number of emp</t>
  </si>
  <si>
    <t>avg of the emp</t>
  </si>
  <si>
    <t>find the sum of salary of the employess whos city= mumbai</t>
  </si>
  <si>
    <t>find the sum of salary of those employe whoes age &lt; 25 and city mumbai</t>
  </si>
  <si>
    <t>the employe age greater then 25 sumif</t>
  </si>
  <si>
    <t>sumifs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</si>
</sst>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workbookViewId="0">
      <selection sqref="A1:F10"/>
    </sheetView>
  </sheetViews>
  <sheetFormatPr defaultRowHeight="15" x14ac:dyDescent="0.25"/>
  <cols>
    <col min="1" max="1" width="8" customWidth="1"/>
    <col min="2" max="2" width="21.5703125" customWidth="1"/>
    <col min="3" max="3" width="15.140625" customWidth="1"/>
    <col min="4" max="4" width="12" customWidth="1"/>
    <col min="5" max="5" width="17.85546875" customWidth="1"/>
    <col min="6" max="6" width="12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101</v>
      </c>
      <c r="B2" s="2" t="s">
        <v>6</v>
      </c>
      <c r="C2" s="2">
        <v>26</v>
      </c>
      <c r="D2" s="2">
        <v>45000.9</v>
      </c>
      <c r="E2" s="2" t="s">
        <v>7</v>
      </c>
      <c r="F2" s="2" t="s">
        <v>8</v>
      </c>
    </row>
    <row r="3" spans="1:6" x14ac:dyDescent="0.25">
      <c r="A3" s="3">
        <v>102</v>
      </c>
      <c r="B3" s="3" t="s">
        <v>9</v>
      </c>
      <c r="C3" s="3">
        <v>27</v>
      </c>
      <c r="D3" s="3">
        <v>56000</v>
      </c>
      <c r="E3" s="3" t="s">
        <v>10</v>
      </c>
      <c r="F3" s="3" t="s">
        <v>11</v>
      </c>
    </row>
    <row r="4" spans="1:6" x14ac:dyDescent="0.25">
      <c r="A4" s="2">
        <v>103</v>
      </c>
      <c r="B4" s="2" t="s">
        <v>12</v>
      </c>
      <c r="C4" s="2">
        <v>29</v>
      </c>
      <c r="D4" s="2">
        <v>23000</v>
      </c>
      <c r="E4" s="2" t="s">
        <v>13</v>
      </c>
      <c r="F4" s="2" t="s">
        <v>14</v>
      </c>
    </row>
    <row r="5" spans="1:6" x14ac:dyDescent="0.25">
      <c r="A5" s="3">
        <v>104</v>
      </c>
      <c r="B5" s="3" t="s">
        <v>15</v>
      </c>
      <c r="C5" s="3">
        <v>22</v>
      </c>
      <c r="D5" s="3">
        <v>34000</v>
      </c>
      <c r="E5" s="3" t="s">
        <v>16</v>
      </c>
      <c r="F5" s="3" t="s">
        <v>11</v>
      </c>
    </row>
    <row r="6" spans="1:6" x14ac:dyDescent="0.25">
      <c r="A6" s="2">
        <v>105</v>
      </c>
      <c r="B6" s="2" t="s">
        <v>17</v>
      </c>
      <c r="C6" s="2">
        <v>26</v>
      </c>
      <c r="D6" s="2">
        <v>510000</v>
      </c>
      <c r="E6" s="2" t="s">
        <v>18</v>
      </c>
      <c r="F6" s="2" t="s">
        <v>14</v>
      </c>
    </row>
    <row r="7" spans="1:6" x14ac:dyDescent="0.25">
      <c r="A7" s="3">
        <v>106</v>
      </c>
      <c r="B7" s="3" t="s">
        <v>19</v>
      </c>
      <c r="C7" s="3">
        <v>27</v>
      </c>
      <c r="D7" s="3">
        <v>41000</v>
      </c>
      <c r="E7" s="3" t="s">
        <v>20</v>
      </c>
      <c r="F7" s="3" t="s">
        <v>8</v>
      </c>
    </row>
    <row r="8" spans="1:6" x14ac:dyDescent="0.25">
      <c r="A8" s="2">
        <v>107</v>
      </c>
      <c r="B8" s="2" t="s">
        <v>21</v>
      </c>
      <c r="C8" s="2">
        <v>26</v>
      </c>
      <c r="D8" s="2">
        <v>51000</v>
      </c>
      <c r="E8" s="2" t="s">
        <v>22</v>
      </c>
      <c r="F8" s="2" t="s">
        <v>14</v>
      </c>
    </row>
    <row r="9" spans="1:6" x14ac:dyDescent="0.25">
      <c r="A9" s="3">
        <v>108</v>
      </c>
      <c r="B9" s="3" t="s">
        <v>23</v>
      </c>
      <c r="C9" s="3">
        <v>24</v>
      </c>
      <c r="D9" s="3">
        <v>65000</v>
      </c>
      <c r="E9" s="3" t="s">
        <v>24</v>
      </c>
      <c r="F9" s="3" t="s">
        <v>11</v>
      </c>
    </row>
    <row r="10" spans="1:6" x14ac:dyDescent="0.25">
      <c r="A10" s="2">
        <v>109</v>
      </c>
      <c r="B10" s="2" t="s">
        <v>21</v>
      </c>
      <c r="C10" s="2">
        <v>28</v>
      </c>
      <c r="D10" s="2">
        <v>4900099</v>
      </c>
      <c r="E10" s="2" t="s">
        <v>25</v>
      </c>
      <c r="F10" s="2" t="s">
        <v>8</v>
      </c>
    </row>
    <row r="12" spans="1:6" ht="21" x14ac:dyDescent="0.35">
      <c r="C12" s="4" t="s">
        <v>26</v>
      </c>
      <c r="D12">
        <f>SUM(D2:D10)</f>
        <v>5725099.9000000004</v>
      </c>
    </row>
    <row r="13" spans="1:6" x14ac:dyDescent="0.25">
      <c r="C13" t="s">
        <v>27</v>
      </c>
      <c r="D13">
        <f>COUNT(D2:D10)</f>
        <v>9</v>
      </c>
    </row>
    <row r="14" spans="1:6" x14ac:dyDescent="0.25">
      <c r="C14" t="s">
        <v>28</v>
      </c>
      <c r="D14">
        <f>AVERAGE(D2:D10)</f>
        <v>636122.2111111111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B7C6D-EFDE-4904-8BBA-72295E9C63D5}">
  <dimension ref="A1:F17"/>
  <sheetViews>
    <sheetView tabSelected="1" workbookViewId="0">
      <selection activeCell="C18" sqref="C18"/>
    </sheetView>
  </sheetViews>
  <sheetFormatPr defaultRowHeight="15" x14ac:dyDescent="0.25"/>
  <cols>
    <col min="1" max="1" width="70.5703125" customWidth="1"/>
    <col min="2" max="2" width="19.5703125" customWidth="1"/>
    <col min="4" max="4" width="11" customWidth="1"/>
    <col min="5" max="5" width="16.28515625" customWidth="1"/>
    <col min="6" max="6" width="15.285156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101</v>
      </c>
      <c r="B2" s="2" t="s">
        <v>6</v>
      </c>
      <c r="C2" s="2">
        <v>26</v>
      </c>
      <c r="D2" s="2">
        <v>45000.9</v>
      </c>
      <c r="E2" s="2" t="s">
        <v>7</v>
      </c>
      <c r="F2" s="2" t="s">
        <v>8</v>
      </c>
    </row>
    <row r="3" spans="1:6" x14ac:dyDescent="0.25">
      <c r="A3" s="3">
        <v>102</v>
      </c>
      <c r="B3" s="3" t="s">
        <v>9</v>
      </c>
      <c r="C3" s="3">
        <v>27</v>
      </c>
      <c r="D3" s="3">
        <v>56000</v>
      </c>
      <c r="E3" s="3" t="s">
        <v>10</v>
      </c>
      <c r="F3" s="3" t="s">
        <v>11</v>
      </c>
    </row>
    <row r="4" spans="1:6" x14ac:dyDescent="0.25">
      <c r="A4" s="2">
        <v>103</v>
      </c>
      <c r="B4" s="2" t="s">
        <v>12</v>
      </c>
      <c r="C4" s="2">
        <v>29</v>
      </c>
      <c r="D4" s="2">
        <v>23000</v>
      </c>
      <c r="E4" s="2" t="s">
        <v>13</v>
      </c>
      <c r="F4" s="2" t="s">
        <v>14</v>
      </c>
    </row>
    <row r="5" spans="1:6" x14ac:dyDescent="0.25">
      <c r="A5" s="3">
        <v>104</v>
      </c>
      <c r="B5" s="3" t="s">
        <v>15</v>
      </c>
      <c r="C5" s="3">
        <v>22</v>
      </c>
      <c r="D5" s="3">
        <v>34000</v>
      </c>
      <c r="E5" s="3" t="s">
        <v>16</v>
      </c>
      <c r="F5" s="3" t="s">
        <v>11</v>
      </c>
    </row>
    <row r="6" spans="1:6" x14ac:dyDescent="0.25">
      <c r="A6" s="2">
        <v>105</v>
      </c>
      <c r="B6" s="2" t="s">
        <v>17</v>
      </c>
      <c r="C6" s="2">
        <v>26</v>
      </c>
      <c r="D6" s="2">
        <v>510000</v>
      </c>
      <c r="E6" s="2" t="s">
        <v>18</v>
      </c>
      <c r="F6" s="2" t="s">
        <v>14</v>
      </c>
    </row>
    <row r="7" spans="1:6" x14ac:dyDescent="0.25">
      <c r="A7" s="3">
        <v>106</v>
      </c>
      <c r="B7" s="3" t="s">
        <v>19</v>
      </c>
      <c r="C7" s="3">
        <v>27</v>
      </c>
      <c r="D7" s="3">
        <v>41000</v>
      </c>
      <c r="E7" s="3" t="s">
        <v>20</v>
      </c>
      <c r="F7" s="3" t="s">
        <v>8</v>
      </c>
    </row>
    <row r="8" spans="1:6" x14ac:dyDescent="0.25">
      <c r="A8" s="2">
        <v>107</v>
      </c>
      <c r="B8" s="2" t="s">
        <v>21</v>
      </c>
      <c r="C8" s="2">
        <v>26</v>
      </c>
      <c r="D8" s="2">
        <v>51000</v>
      </c>
      <c r="E8" s="2" t="s">
        <v>22</v>
      </c>
      <c r="F8" s="2" t="s">
        <v>14</v>
      </c>
    </row>
    <row r="9" spans="1:6" x14ac:dyDescent="0.25">
      <c r="A9" s="3">
        <v>108</v>
      </c>
      <c r="B9" s="3" t="s">
        <v>23</v>
      </c>
      <c r="C9" s="3">
        <v>24</v>
      </c>
      <c r="D9" s="3">
        <v>65000</v>
      </c>
      <c r="E9" s="3" t="s">
        <v>24</v>
      </c>
      <c r="F9" s="3" t="s">
        <v>11</v>
      </c>
    </row>
    <row r="10" spans="1:6" x14ac:dyDescent="0.25">
      <c r="A10" s="2">
        <v>109</v>
      </c>
      <c r="B10" s="2" t="s">
        <v>21</v>
      </c>
      <c r="C10" s="2">
        <v>28</v>
      </c>
      <c r="D10" s="2">
        <v>4900099</v>
      </c>
      <c r="E10" s="2" t="s">
        <v>25</v>
      </c>
      <c r="F10" s="2" t="s">
        <v>8</v>
      </c>
    </row>
    <row r="13" spans="1:6" x14ac:dyDescent="0.25">
      <c r="A13" t="s">
        <v>29</v>
      </c>
      <c r="B13">
        <f>SUMIF(F2:F10,"mumbai",D2:D10)</f>
        <v>155000</v>
      </c>
      <c r="D13">
        <f>D3+D5+D9</f>
        <v>155000</v>
      </c>
    </row>
    <row r="14" spans="1:6" x14ac:dyDescent="0.25">
      <c r="A14" t="s">
        <v>31</v>
      </c>
      <c r="B14">
        <f>SUMIF(C2:C10,"&gt;25",D2:D10)</f>
        <v>5626099.9000000004</v>
      </c>
      <c r="D14">
        <f>D10+D8+D7+D6+D4+D3+D2</f>
        <v>5626099.9000000004</v>
      </c>
    </row>
    <row r="16" spans="1:6" x14ac:dyDescent="0.25">
      <c r="A16" t="s">
        <v>30</v>
      </c>
      <c r="B16" t="s">
        <v>32</v>
      </c>
      <c r="C16">
        <f>SUMIFS(D2:D10,C2:C10,"&lt;25",F2:F10,"mumbai")</f>
        <v>99000</v>
      </c>
    </row>
    <row r="17" spans="3:3" x14ac:dyDescent="0.25">
      <c r="C17">
        <f>AVERAGEIF(F2:F10,"mumbai",D2:D10)</f>
        <v>51666.666666666664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dakshpore11@outlook.com</cp:lastModifiedBy>
  <dcterms:created xsi:type="dcterms:W3CDTF">2026-06-11T12:36:21Z</dcterms:created>
  <dcterms:modified xsi:type="dcterms:W3CDTF">2026-06-12T13:27:46Z</dcterms:modified>
</cp:coreProperties>
</file>