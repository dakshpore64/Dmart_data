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Dmart_data\"/>
    </mc:Choice>
  </mc:AlternateContent>
  <xr:revisionPtr revIDLastSave="0" documentId="13_ncr:1_{637640E1-4261-4A9C-8CC0-893826DEE91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Employee" sheetId="1" r:id="rId1"/>
    <sheet name="Sheet4" sheetId="5" r:id="rId2"/>
    <sheet name="Sheet5" sheetId="6" r:id="rId3"/>
    <sheet name="Sheet6" sheetId="7" r:id="rId4"/>
    <sheet name="Sheet7" sheetId="8" r:id="rId5"/>
    <sheet name="Sheet8" sheetId="9" r:id="rId6"/>
    <sheet name="Sheet1" sheetId="2" r:id="rId7"/>
    <sheet name="Sheet2" sheetId="3" r:id="rId8"/>
    <sheet name="Sheet3" sheetId="4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5" l="1"/>
  <c r="H3" i="5"/>
  <c r="H4" i="5"/>
  <c r="H5" i="5"/>
  <c r="H6" i="5"/>
  <c r="H7" i="5"/>
  <c r="H8" i="5"/>
  <c r="H9" i="5"/>
  <c r="H10" i="5"/>
  <c r="G2" i="5"/>
  <c r="G3" i="5"/>
  <c r="G4" i="5"/>
  <c r="G5" i="5"/>
  <c r="G6" i="5"/>
  <c r="G7" i="5"/>
  <c r="G8" i="5"/>
  <c r="G9" i="5"/>
  <c r="G10" i="5"/>
  <c r="G3" i="4"/>
  <c r="G4" i="4"/>
  <c r="G5" i="4"/>
  <c r="G2" i="4"/>
  <c r="E2" i="4"/>
  <c r="F3" i="4"/>
  <c r="F4" i="4"/>
  <c r="F5" i="4"/>
  <c r="F2" i="4"/>
  <c r="E3" i="4"/>
  <c r="E4" i="4"/>
  <c r="E5" i="4"/>
  <c r="C3" i="3"/>
  <c r="C4" i="3"/>
  <c r="C5" i="3"/>
  <c r="C6" i="3"/>
  <c r="C7" i="3"/>
  <c r="C8" i="3"/>
  <c r="C2" i="3"/>
  <c r="C17" i="2" l="1"/>
  <c r="C16" i="2"/>
  <c r="D14" i="2"/>
  <c r="B14" i="2"/>
  <c r="D13" i="2"/>
  <c r="B13" i="2"/>
  <c r="D14" i="1"/>
  <c r="D13" i="1"/>
  <c r="D12" i="1"/>
</calcChain>
</file>

<file path=xl/sharedStrings.xml><?xml version="1.0" encoding="utf-8"?>
<sst xmlns="http://schemas.openxmlformats.org/spreadsheetml/2006/main" count="168" uniqueCount="85">
  <si>
    <t>Empid</t>
  </si>
  <si>
    <t>Empname</t>
  </si>
  <si>
    <t>Age</t>
  </si>
  <si>
    <t>Salary</t>
  </si>
  <si>
    <t>DOB</t>
  </si>
  <si>
    <t>City</t>
  </si>
  <si>
    <t>Rohan Pandey</t>
  </si>
  <si>
    <t>10-05-2000</t>
  </si>
  <si>
    <t>Indore</t>
  </si>
  <si>
    <t>Tina</t>
  </si>
  <si>
    <t>05-09-1999</t>
  </si>
  <si>
    <t>Mumbai</t>
  </si>
  <si>
    <t>Sunita</t>
  </si>
  <si>
    <t>23-10-1997</t>
  </si>
  <si>
    <t>Pune</t>
  </si>
  <si>
    <t>Anu</t>
  </si>
  <si>
    <t>13-08-2004</t>
  </si>
  <si>
    <t>Geeta</t>
  </si>
  <si>
    <t>21-03-2000</t>
  </si>
  <si>
    <t>Suresh</t>
  </si>
  <si>
    <t>19-03-1999</t>
  </si>
  <si>
    <t>Kamal</t>
  </si>
  <si>
    <t>26-12-2000</t>
  </si>
  <si>
    <t>Rekha</t>
  </si>
  <si>
    <t>25-08-2002</t>
  </si>
  <si>
    <t>10-09-1998</t>
  </si>
  <si>
    <t>total salary</t>
  </si>
  <si>
    <t>number of emp</t>
  </si>
  <si>
    <t>avg of the emp</t>
  </si>
  <si>
    <t>find the sum of salary of the employess whos city= mumbai</t>
  </si>
  <si>
    <t>find the sum of salary of those employe whoes age &lt; 25 and city mumbai</t>
  </si>
  <si>
    <t>the employe age greater then 25 sumif</t>
  </si>
  <si>
    <t>sumifs</t>
  </si>
  <si>
    <t>Bonus</t>
  </si>
  <si>
    <t>Marks</t>
  </si>
  <si>
    <t xml:space="preserve">question </t>
  </si>
  <si>
    <t>marks&gt;=75, grade A</t>
  </si>
  <si>
    <t>otherwise fail</t>
  </si>
  <si>
    <t>use multiple if else</t>
  </si>
  <si>
    <t>marks&gt;=50, grade c</t>
  </si>
  <si>
    <t>marks&gt;=60, grade b</t>
  </si>
  <si>
    <t>Grade</t>
  </si>
  <si>
    <t>Physics</t>
  </si>
  <si>
    <t>Chemistry</t>
  </si>
  <si>
    <t>Math</t>
  </si>
  <si>
    <t>Status</t>
  </si>
  <si>
    <t xml:space="preserve">Question : Checks Weather a student has passed all subject </t>
  </si>
  <si>
    <t>Passing marks &gt;= 40 in all subject</t>
  </si>
  <si>
    <t>Result</t>
  </si>
  <si>
    <t>Question of OR function: Check weather a student have pass atleast in one subject</t>
  </si>
  <si>
    <t>Passing marks &gt;=40</t>
  </si>
  <si>
    <t>OR Function</t>
  </si>
  <si>
    <t>Que: salary &gt;=50000 and city = mumbai then eligble for bonus otherwise not eligible</t>
  </si>
  <si>
    <t>Que: salary &gt;=50000 or city = mumbai then eligble for bonus otherwise not eligible</t>
  </si>
  <si>
    <t>Eligible For Bonus (AND)</t>
  </si>
  <si>
    <t>Eligible For Bonus (OR)</t>
  </si>
  <si>
    <t>meena pandey</t>
  </si>
  <si>
    <t>ramesh sharma</t>
  </si>
  <si>
    <t>renu agrawal</t>
  </si>
  <si>
    <t>suresh pathak</t>
  </si>
  <si>
    <t>ctrl + E - short cut key for flash fill</t>
  </si>
  <si>
    <t>Meena</t>
  </si>
  <si>
    <t>Ramesh</t>
  </si>
  <si>
    <t>Renu</t>
  </si>
  <si>
    <t>Pandey</t>
  </si>
  <si>
    <t>Sharma</t>
  </si>
  <si>
    <t>Agrawal</t>
  </si>
  <si>
    <t>Pathak</t>
  </si>
  <si>
    <t>Emp_id</t>
  </si>
  <si>
    <t>MUMBAI</t>
  </si>
  <si>
    <t>hyderabad</t>
  </si>
  <si>
    <t>Channai</t>
  </si>
  <si>
    <t>PUNE</t>
  </si>
  <si>
    <t>HYderabad</t>
  </si>
  <si>
    <t>Bangalore</t>
  </si>
  <si>
    <t>mumbai</t>
  </si>
  <si>
    <t>Update_city</t>
  </si>
  <si>
    <t>BANGALORE</t>
  </si>
  <si>
    <t>HYDERABAD</t>
  </si>
  <si>
    <t>CHANNAI</t>
  </si>
  <si>
    <t>daksh@gmail.com</t>
  </si>
  <si>
    <t>gmail.com</t>
  </si>
  <si>
    <t>ram112@tcs.com</t>
  </si>
  <si>
    <t>ranu32@itvadent.com</t>
  </si>
  <si>
    <t>Daksh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</si>
</sst>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2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CE6F1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/>
    <xf numFmtId="0" fontId="1" fillId="2" borderId="2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0" fillId="0" borderId="0" xfId="0" applyNumberFormat="1"/>
    <xf numFmtId="14" fontId="0" fillId="0" borderId="0" xfId="0" applyNumberFormat="1"/>
    <xf numFmtId="0" fontId="11" fillId="0" borderId="0" xfId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88D2FF-8C29-4D0B-873C-C3FE75F8F5B0}" name="Table1" displayName="Table1" ref="A1:C9" totalsRowShown="0">
  <autoFilter ref="A1:C9" xr:uid="{C488D2FF-8C29-4D0B-873C-C3FE75F8F5B0}"/>
  <tableColumns count="3">
    <tableColumn id="1" xr3:uid="{978B9E58-9A06-45C0-A2AF-4328ABECE471}" name="Emp_id"/>
    <tableColumn id="2" xr3:uid="{4D112869-DAA1-433C-BDC3-CC197ABF9A1D}" name="City"/>
    <tableColumn id="3" xr3:uid="{CBA14845-D35D-4DE0-AD69-ADC159662A50}" name="Update_city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ram112@tcs.com" TargetMode="External"/><Relationship Id="rId2" Type="http://schemas.openxmlformats.org/officeDocument/2006/relationships/hyperlink" Target="mailto:ranu32@itvadent.com" TargetMode="External"/><Relationship Id="rId1" Type="http://schemas.openxmlformats.org/officeDocument/2006/relationships/hyperlink" Target="mailto:daksh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workbookViewId="0">
      <selection sqref="A1:F10"/>
    </sheetView>
  </sheetViews>
  <sheetFormatPr defaultRowHeight="15" x14ac:dyDescent="0.25"/>
  <cols>
    <col min="1" max="1" width="8" customWidth="1"/>
    <col min="2" max="2" width="21.5703125" customWidth="1"/>
    <col min="3" max="3" width="15.140625" customWidth="1"/>
    <col min="4" max="4" width="12" customWidth="1"/>
    <col min="5" max="5" width="17.85546875" customWidth="1"/>
    <col min="6" max="6" width="12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101</v>
      </c>
      <c r="B2" s="2" t="s">
        <v>6</v>
      </c>
      <c r="C2" s="2">
        <v>26</v>
      </c>
      <c r="D2" s="2">
        <v>45000.9</v>
      </c>
      <c r="E2" s="2" t="s">
        <v>7</v>
      </c>
      <c r="F2" s="2" t="s">
        <v>8</v>
      </c>
    </row>
    <row r="3" spans="1:6" x14ac:dyDescent="0.25">
      <c r="A3" s="3">
        <v>102</v>
      </c>
      <c r="B3" s="3" t="s">
        <v>9</v>
      </c>
      <c r="C3" s="3">
        <v>27</v>
      </c>
      <c r="D3" s="3">
        <v>56000</v>
      </c>
      <c r="E3" s="3" t="s">
        <v>10</v>
      </c>
      <c r="F3" s="3" t="s">
        <v>11</v>
      </c>
    </row>
    <row r="4" spans="1:6" x14ac:dyDescent="0.25">
      <c r="A4" s="2">
        <v>103</v>
      </c>
      <c r="B4" s="2" t="s">
        <v>12</v>
      </c>
      <c r="C4" s="2">
        <v>29</v>
      </c>
      <c r="D4" s="2">
        <v>23000</v>
      </c>
      <c r="E4" s="2" t="s">
        <v>13</v>
      </c>
      <c r="F4" s="2" t="s">
        <v>14</v>
      </c>
    </row>
    <row r="5" spans="1:6" x14ac:dyDescent="0.25">
      <c r="A5" s="3">
        <v>104</v>
      </c>
      <c r="B5" s="3" t="s">
        <v>15</v>
      </c>
      <c r="C5" s="3">
        <v>22</v>
      </c>
      <c r="D5" s="3">
        <v>34000</v>
      </c>
      <c r="E5" s="3" t="s">
        <v>16</v>
      </c>
      <c r="F5" s="3" t="s">
        <v>11</v>
      </c>
    </row>
    <row r="6" spans="1:6" x14ac:dyDescent="0.25">
      <c r="A6" s="2">
        <v>105</v>
      </c>
      <c r="B6" s="2" t="s">
        <v>17</v>
      </c>
      <c r="C6" s="2">
        <v>26</v>
      </c>
      <c r="D6" s="2">
        <v>510000</v>
      </c>
      <c r="E6" s="2" t="s">
        <v>18</v>
      </c>
      <c r="F6" s="2" t="s">
        <v>14</v>
      </c>
    </row>
    <row r="7" spans="1:6" x14ac:dyDescent="0.25">
      <c r="A7" s="3">
        <v>106</v>
      </c>
      <c r="B7" s="3" t="s">
        <v>19</v>
      </c>
      <c r="C7" s="3">
        <v>27</v>
      </c>
      <c r="D7" s="3">
        <v>41000</v>
      </c>
      <c r="E7" s="3" t="s">
        <v>20</v>
      </c>
      <c r="F7" s="3" t="s">
        <v>8</v>
      </c>
    </row>
    <row r="8" spans="1:6" x14ac:dyDescent="0.25">
      <c r="A8" s="2">
        <v>107</v>
      </c>
      <c r="B8" s="2" t="s">
        <v>21</v>
      </c>
      <c r="C8" s="2">
        <v>26</v>
      </c>
      <c r="D8" s="2">
        <v>51000</v>
      </c>
      <c r="E8" s="2" t="s">
        <v>22</v>
      </c>
      <c r="F8" s="2" t="s">
        <v>14</v>
      </c>
    </row>
    <row r="9" spans="1:6" x14ac:dyDescent="0.25">
      <c r="A9" s="3">
        <v>108</v>
      </c>
      <c r="B9" s="3" t="s">
        <v>23</v>
      </c>
      <c r="C9" s="3">
        <v>24</v>
      </c>
      <c r="D9" s="3">
        <v>65000</v>
      </c>
      <c r="E9" s="3" t="s">
        <v>24</v>
      </c>
      <c r="F9" s="3" t="s">
        <v>11</v>
      </c>
    </row>
    <row r="10" spans="1:6" x14ac:dyDescent="0.25">
      <c r="A10" s="2">
        <v>109</v>
      </c>
      <c r="B10" s="2" t="s">
        <v>21</v>
      </c>
      <c r="C10" s="2">
        <v>28</v>
      </c>
      <c r="D10" s="2">
        <v>4900099</v>
      </c>
      <c r="E10" s="2" t="s">
        <v>25</v>
      </c>
      <c r="F10" s="2" t="s">
        <v>8</v>
      </c>
    </row>
    <row r="12" spans="1:6" ht="21" x14ac:dyDescent="0.35">
      <c r="C12" s="4" t="s">
        <v>26</v>
      </c>
      <c r="D12">
        <f>SUM(D2:D10)</f>
        <v>5725099.9000000004</v>
      </c>
    </row>
    <row r="13" spans="1:6" x14ac:dyDescent="0.25">
      <c r="C13" t="s">
        <v>27</v>
      </c>
      <c r="D13">
        <f>COUNT(D2:D10)</f>
        <v>9</v>
      </c>
    </row>
    <row r="14" spans="1:6" x14ac:dyDescent="0.25">
      <c r="C14" t="s">
        <v>28</v>
      </c>
      <c r="D14">
        <f>AVERAGE(D2:D10)</f>
        <v>636122.2111111111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8A268-94D2-4ECC-BF4F-D2BA65E083C3}">
  <dimension ref="A1:H15"/>
  <sheetViews>
    <sheetView workbookViewId="0">
      <selection activeCell="G19" sqref="G19"/>
    </sheetView>
  </sheetViews>
  <sheetFormatPr defaultRowHeight="15" x14ac:dyDescent="0.25"/>
  <cols>
    <col min="1" max="4" width="18.5703125" customWidth="1"/>
    <col min="5" max="5" width="25.85546875" customWidth="1"/>
    <col min="6" max="6" width="18.5703125" customWidth="1"/>
    <col min="7" max="7" width="27" customWidth="1"/>
    <col min="8" max="8" width="2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54</v>
      </c>
      <c r="H1" s="1" t="s">
        <v>55</v>
      </c>
    </row>
    <row r="2" spans="1:8" x14ac:dyDescent="0.25">
      <c r="A2" s="2">
        <v>101</v>
      </c>
      <c r="B2" s="2" t="s">
        <v>6</v>
      </c>
      <c r="C2" s="2">
        <v>26</v>
      </c>
      <c r="D2" s="2">
        <v>45000.9</v>
      </c>
      <c r="E2" s="2" t="s">
        <v>7</v>
      </c>
      <c r="F2" s="2" t="s">
        <v>8</v>
      </c>
      <c r="G2" s="2" t="str">
        <f>IF(AND(D2&gt;=50000,F2="mumbai"),"eligible","not eligible")</f>
        <v>not eligible</v>
      </c>
      <c r="H2" s="2" t="str">
        <f>IF(OR(D2&gt;=50000,F2="mumbai"),"eligible","not eligible")</f>
        <v>not eligible</v>
      </c>
    </row>
    <row r="3" spans="1:8" x14ac:dyDescent="0.25">
      <c r="A3" s="3">
        <v>102</v>
      </c>
      <c r="B3" s="3" t="s">
        <v>9</v>
      </c>
      <c r="C3" s="3">
        <v>27</v>
      </c>
      <c r="D3" s="3">
        <v>56000</v>
      </c>
      <c r="E3" s="3" t="s">
        <v>10</v>
      </c>
      <c r="F3" s="3" t="s">
        <v>11</v>
      </c>
      <c r="G3" s="3" t="str">
        <f t="shared" ref="G3:G10" si="0">IF(AND(D3&gt;=50000,F3="mumbai"),"eligible","not eligible")</f>
        <v>eligible</v>
      </c>
      <c r="H3" s="3" t="str">
        <f t="shared" ref="H3:H10" si="1">IF(OR(D3&gt;=50000,F3="mumbai"),"eligible","not eligible")</f>
        <v>eligible</v>
      </c>
    </row>
    <row r="4" spans="1:8" x14ac:dyDescent="0.25">
      <c r="A4" s="2">
        <v>103</v>
      </c>
      <c r="B4" s="2" t="s">
        <v>12</v>
      </c>
      <c r="C4" s="2">
        <v>29</v>
      </c>
      <c r="D4" s="2">
        <v>23000</v>
      </c>
      <c r="E4" s="2" t="s">
        <v>13</v>
      </c>
      <c r="F4" s="2" t="s">
        <v>14</v>
      </c>
      <c r="G4" s="2" t="str">
        <f t="shared" si="0"/>
        <v>not eligible</v>
      </c>
      <c r="H4" s="2" t="str">
        <f t="shared" si="1"/>
        <v>not eligible</v>
      </c>
    </row>
    <row r="5" spans="1:8" x14ac:dyDescent="0.25">
      <c r="A5" s="3">
        <v>104</v>
      </c>
      <c r="B5" s="3" t="s">
        <v>15</v>
      </c>
      <c r="C5" s="3">
        <v>22</v>
      </c>
      <c r="D5" s="3">
        <v>34000</v>
      </c>
      <c r="E5" s="3" t="s">
        <v>16</v>
      </c>
      <c r="F5" s="3" t="s">
        <v>11</v>
      </c>
      <c r="G5" s="3" t="str">
        <f t="shared" si="0"/>
        <v>not eligible</v>
      </c>
      <c r="H5" s="3" t="str">
        <f t="shared" si="1"/>
        <v>eligible</v>
      </c>
    </row>
    <row r="6" spans="1:8" x14ac:dyDescent="0.25">
      <c r="A6" s="2">
        <v>105</v>
      </c>
      <c r="B6" s="2" t="s">
        <v>17</v>
      </c>
      <c r="C6" s="2">
        <v>26</v>
      </c>
      <c r="D6" s="2">
        <v>510000</v>
      </c>
      <c r="E6" s="2" t="s">
        <v>18</v>
      </c>
      <c r="F6" s="2" t="s">
        <v>14</v>
      </c>
      <c r="G6" s="2" t="str">
        <f t="shared" si="0"/>
        <v>not eligible</v>
      </c>
      <c r="H6" s="2" t="str">
        <f t="shared" si="1"/>
        <v>eligible</v>
      </c>
    </row>
    <row r="7" spans="1:8" x14ac:dyDescent="0.25">
      <c r="A7" s="3">
        <v>106</v>
      </c>
      <c r="B7" s="3" t="s">
        <v>19</v>
      </c>
      <c r="C7" s="3">
        <v>27</v>
      </c>
      <c r="D7" s="3">
        <v>41000</v>
      </c>
      <c r="E7" s="3" t="s">
        <v>20</v>
      </c>
      <c r="F7" s="3" t="s">
        <v>8</v>
      </c>
      <c r="G7" s="3" t="str">
        <f t="shared" si="0"/>
        <v>not eligible</v>
      </c>
      <c r="H7" s="3" t="str">
        <f t="shared" si="1"/>
        <v>not eligible</v>
      </c>
    </row>
    <row r="8" spans="1:8" x14ac:dyDescent="0.25">
      <c r="A8" s="2">
        <v>107</v>
      </c>
      <c r="B8" s="2" t="s">
        <v>21</v>
      </c>
      <c r="C8" s="2">
        <v>26</v>
      </c>
      <c r="D8" s="2">
        <v>51000</v>
      </c>
      <c r="E8" s="2" t="s">
        <v>22</v>
      </c>
      <c r="F8" s="2" t="s">
        <v>14</v>
      </c>
      <c r="G8" s="2" t="str">
        <f t="shared" si="0"/>
        <v>not eligible</v>
      </c>
      <c r="H8" s="2" t="str">
        <f t="shared" si="1"/>
        <v>eligible</v>
      </c>
    </row>
    <row r="9" spans="1:8" x14ac:dyDescent="0.25">
      <c r="A9" s="3">
        <v>108</v>
      </c>
      <c r="B9" s="3" t="s">
        <v>23</v>
      </c>
      <c r="C9" s="3">
        <v>24</v>
      </c>
      <c r="D9" s="3">
        <v>65000</v>
      </c>
      <c r="E9" s="3" t="s">
        <v>24</v>
      </c>
      <c r="F9" s="3" t="s">
        <v>11</v>
      </c>
      <c r="G9" s="3" t="str">
        <f t="shared" si="0"/>
        <v>eligible</v>
      </c>
      <c r="H9" s="3" t="str">
        <f t="shared" si="1"/>
        <v>eligible</v>
      </c>
    </row>
    <row r="10" spans="1:8" x14ac:dyDescent="0.25">
      <c r="A10" s="2">
        <v>109</v>
      </c>
      <c r="B10" s="2" t="s">
        <v>21</v>
      </c>
      <c r="C10" s="2">
        <v>28</v>
      </c>
      <c r="D10" s="2">
        <v>49000</v>
      </c>
      <c r="E10" s="2" t="s">
        <v>25</v>
      </c>
      <c r="F10" s="2" t="s">
        <v>8</v>
      </c>
      <c r="G10" s="2" t="str">
        <f t="shared" si="0"/>
        <v>not eligible</v>
      </c>
      <c r="H10" s="2" t="str">
        <f t="shared" si="1"/>
        <v>not eligible</v>
      </c>
    </row>
    <row r="14" spans="1:8" ht="27.75" customHeight="1" x14ac:dyDescent="0.25">
      <c r="B14" s="9" t="s">
        <v>52</v>
      </c>
      <c r="C14" s="9"/>
      <c r="D14" s="9"/>
      <c r="E14" s="9"/>
    </row>
    <row r="15" spans="1:8" ht="27.75" customHeight="1" x14ac:dyDescent="0.25">
      <c r="B15" s="9" t="s">
        <v>53</v>
      </c>
      <c r="C15" s="9"/>
      <c r="D15" s="9"/>
      <c r="E15" s="9"/>
    </row>
  </sheetData>
  <mergeCells count="2">
    <mergeCell ref="B14:E14"/>
    <mergeCell ref="B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D7475-B6BB-4F56-B768-897728F2955A}">
  <dimension ref="A1:E7"/>
  <sheetViews>
    <sheetView workbookViewId="0">
      <selection activeCell="C2" sqref="C2"/>
    </sheetView>
  </sheetViews>
  <sheetFormatPr defaultRowHeight="15" x14ac:dyDescent="0.25"/>
  <cols>
    <col min="1" max="1" width="17.7109375" customWidth="1"/>
    <col min="5" max="5" width="16.7109375" customWidth="1"/>
  </cols>
  <sheetData>
    <row r="1" spans="1:5" x14ac:dyDescent="0.25">
      <c r="A1" t="s">
        <v>56</v>
      </c>
      <c r="B1" t="s">
        <v>61</v>
      </c>
      <c r="C1" t="s">
        <v>64</v>
      </c>
    </row>
    <row r="2" spans="1:5" x14ac:dyDescent="0.25">
      <c r="A2" t="s">
        <v>57</v>
      </c>
      <c r="B2" t="s">
        <v>62</v>
      </c>
      <c r="C2" t="s">
        <v>65</v>
      </c>
    </row>
    <row r="3" spans="1:5" x14ac:dyDescent="0.25">
      <c r="A3" t="s">
        <v>58</v>
      </c>
      <c r="B3" t="s">
        <v>63</v>
      </c>
      <c r="C3" t="s">
        <v>66</v>
      </c>
    </row>
    <row r="4" spans="1:5" x14ac:dyDescent="0.25">
      <c r="A4" t="s">
        <v>59</v>
      </c>
      <c r="B4" t="s">
        <v>19</v>
      </c>
      <c r="C4" t="s">
        <v>67</v>
      </c>
    </row>
    <row r="7" spans="1:5" ht="21" x14ac:dyDescent="0.35">
      <c r="B7" s="14" t="s">
        <v>60</v>
      </c>
      <c r="C7" s="14"/>
      <c r="D7" s="14"/>
      <c r="E7" s="14"/>
    </row>
  </sheetData>
  <mergeCells count="1">
    <mergeCell ref="B7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BFD4A-6D5D-4CD2-9F54-CAFC2E52AEB6}">
  <dimension ref="A1:C9"/>
  <sheetViews>
    <sheetView workbookViewId="0">
      <selection activeCell="H31" sqref="H31"/>
    </sheetView>
  </sheetViews>
  <sheetFormatPr defaultRowHeight="15" x14ac:dyDescent="0.25"/>
  <cols>
    <col min="1" max="3" width="15.85546875" customWidth="1"/>
  </cols>
  <sheetData>
    <row r="1" spans="1:3" x14ac:dyDescent="0.25">
      <c r="A1" t="s">
        <v>68</v>
      </c>
      <c r="B1" t="s">
        <v>5</v>
      </c>
      <c r="C1" t="s">
        <v>76</v>
      </c>
    </row>
    <row r="2" spans="1:3" x14ac:dyDescent="0.25">
      <c r="A2">
        <v>101</v>
      </c>
      <c r="B2" t="s">
        <v>74</v>
      </c>
      <c r="C2" s="15" t="s">
        <v>77</v>
      </c>
    </row>
    <row r="3" spans="1:3" x14ac:dyDescent="0.25">
      <c r="A3">
        <v>102</v>
      </c>
      <c r="B3" t="s">
        <v>69</v>
      </c>
      <c r="C3" s="15" t="s">
        <v>69</v>
      </c>
    </row>
    <row r="4" spans="1:3" x14ac:dyDescent="0.25">
      <c r="A4">
        <v>103</v>
      </c>
      <c r="B4" t="s">
        <v>70</v>
      </c>
      <c r="C4" s="15" t="s">
        <v>78</v>
      </c>
    </row>
    <row r="5" spans="1:3" x14ac:dyDescent="0.25">
      <c r="A5">
        <v>105</v>
      </c>
      <c r="B5" t="s">
        <v>14</v>
      </c>
      <c r="C5" s="15" t="s">
        <v>72</v>
      </c>
    </row>
    <row r="6" spans="1:3" x14ac:dyDescent="0.25">
      <c r="A6">
        <v>106</v>
      </c>
      <c r="B6" t="s">
        <v>71</v>
      </c>
      <c r="C6" s="15" t="s">
        <v>79</v>
      </c>
    </row>
    <row r="7" spans="1:3" x14ac:dyDescent="0.25">
      <c r="A7">
        <v>107</v>
      </c>
      <c r="B7" t="s">
        <v>72</v>
      </c>
      <c r="C7" s="15" t="s">
        <v>72</v>
      </c>
    </row>
    <row r="8" spans="1:3" x14ac:dyDescent="0.25">
      <c r="A8">
        <v>108</v>
      </c>
      <c r="B8" t="s">
        <v>73</v>
      </c>
      <c r="C8" s="15" t="s">
        <v>78</v>
      </c>
    </row>
    <row r="9" spans="1:3" x14ac:dyDescent="0.25">
      <c r="A9">
        <v>109</v>
      </c>
      <c r="B9" t="s">
        <v>75</v>
      </c>
      <c r="C9" s="15" t="s">
        <v>69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C19D-9BA1-4D76-990B-003FF3A9969E}">
  <dimension ref="A1:D3"/>
  <sheetViews>
    <sheetView workbookViewId="0">
      <selection activeCell="E6" sqref="E6"/>
    </sheetView>
  </sheetViews>
  <sheetFormatPr defaultRowHeight="15" x14ac:dyDescent="0.25"/>
  <cols>
    <col min="1" max="1" width="10.42578125" bestFit="1" customWidth="1"/>
    <col min="4" max="4" width="14.7109375" bestFit="1" customWidth="1"/>
  </cols>
  <sheetData>
    <row r="1" spans="1:4" x14ac:dyDescent="0.25">
      <c r="A1" s="16">
        <v>38525</v>
      </c>
      <c r="B1">
        <v>2005</v>
      </c>
      <c r="C1">
        <v>6</v>
      </c>
      <c r="D1" s="15">
        <v>22</v>
      </c>
    </row>
    <row r="2" spans="1:4" x14ac:dyDescent="0.25">
      <c r="A2" s="16">
        <v>24672</v>
      </c>
      <c r="B2">
        <v>1967</v>
      </c>
      <c r="C2">
        <v>7</v>
      </c>
      <c r="D2" s="15">
        <v>19</v>
      </c>
    </row>
    <row r="3" spans="1:4" x14ac:dyDescent="0.25">
      <c r="A3" s="16">
        <v>42909</v>
      </c>
      <c r="B3">
        <v>2017</v>
      </c>
      <c r="C3">
        <v>6</v>
      </c>
      <c r="D3" s="15">
        <v>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ADA6-8A0E-4323-A8C2-B73DD299E8B6}">
  <dimension ref="A1:D3"/>
  <sheetViews>
    <sheetView tabSelected="1" workbookViewId="0">
      <selection activeCell="C2" sqref="C2"/>
    </sheetView>
  </sheetViews>
  <sheetFormatPr defaultRowHeight="15" x14ac:dyDescent="0.25"/>
  <sheetData>
    <row r="1" spans="1:4" x14ac:dyDescent="0.25">
      <c r="A1" s="17" t="s">
        <v>80</v>
      </c>
      <c r="C1" t="s">
        <v>84</v>
      </c>
      <c r="D1" t="s">
        <v>81</v>
      </c>
    </row>
    <row r="2" spans="1:4" x14ac:dyDescent="0.25">
      <c r="A2" s="17" t="s">
        <v>83</v>
      </c>
    </row>
    <row r="3" spans="1:4" x14ac:dyDescent="0.25">
      <c r="A3" s="17" t="s">
        <v>82</v>
      </c>
    </row>
  </sheetData>
  <hyperlinks>
    <hyperlink ref="A1" r:id="rId1" xr:uid="{7991A5AC-7138-47C4-AF51-778CF4DB7DB0}"/>
    <hyperlink ref="A2" r:id="rId2" xr:uid="{14EDAE5D-3128-4794-A0AE-F814971CDA94}"/>
    <hyperlink ref="A3" r:id="rId3" xr:uid="{5FB96FAD-3F1C-4696-A319-E8A069CCAAB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B7C6D-EFDE-4904-8BBA-72295E9C63D5}">
  <dimension ref="A1:G17"/>
  <sheetViews>
    <sheetView workbookViewId="0">
      <selection sqref="A1:A10"/>
    </sheetView>
  </sheetViews>
  <sheetFormatPr defaultRowHeight="15" x14ac:dyDescent="0.25"/>
  <cols>
    <col min="1" max="1" width="70.5703125" customWidth="1"/>
    <col min="2" max="2" width="19.5703125" customWidth="1"/>
    <col min="4" max="4" width="11" customWidth="1"/>
    <col min="5" max="5" width="16.28515625" customWidth="1"/>
    <col min="6" max="6" width="15.28515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33</v>
      </c>
    </row>
    <row r="2" spans="1:7" x14ac:dyDescent="0.25">
      <c r="A2" s="2">
        <v>101</v>
      </c>
      <c r="B2" s="2" t="s">
        <v>6</v>
      </c>
      <c r="C2" s="2">
        <v>26</v>
      </c>
      <c r="D2" s="2">
        <v>45000.9</v>
      </c>
      <c r="E2" s="2" t="s">
        <v>7</v>
      </c>
      <c r="F2" s="2" t="s">
        <v>8</v>
      </c>
    </row>
    <row r="3" spans="1:7" x14ac:dyDescent="0.25">
      <c r="A3" s="3">
        <v>102</v>
      </c>
      <c r="B3" s="3" t="s">
        <v>9</v>
      </c>
      <c r="C3" s="3">
        <v>27</v>
      </c>
      <c r="D3" s="3">
        <v>56000</v>
      </c>
      <c r="E3" s="3" t="s">
        <v>10</v>
      </c>
      <c r="F3" s="3" t="s">
        <v>11</v>
      </c>
    </row>
    <row r="4" spans="1:7" x14ac:dyDescent="0.25">
      <c r="A4" s="2">
        <v>103</v>
      </c>
      <c r="B4" s="2" t="s">
        <v>12</v>
      </c>
      <c r="C4" s="2">
        <v>29</v>
      </c>
      <c r="D4" s="2">
        <v>23000</v>
      </c>
      <c r="E4" s="2" t="s">
        <v>13</v>
      </c>
      <c r="F4" s="2" t="s">
        <v>14</v>
      </c>
    </row>
    <row r="5" spans="1:7" x14ac:dyDescent="0.25">
      <c r="A5" s="3">
        <v>104</v>
      </c>
      <c r="B5" s="3" t="s">
        <v>15</v>
      </c>
      <c r="C5" s="3">
        <v>22</v>
      </c>
      <c r="D5" s="3">
        <v>34000</v>
      </c>
      <c r="E5" s="3" t="s">
        <v>16</v>
      </c>
      <c r="F5" s="3" t="s">
        <v>11</v>
      </c>
    </row>
    <row r="6" spans="1:7" x14ac:dyDescent="0.25">
      <c r="A6" s="2">
        <v>105</v>
      </c>
      <c r="B6" s="2" t="s">
        <v>17</v>
      </c>
      <c r="C6" s="2">
        <v>26</v>
      </c>
      <c r="D6" s="2">
        <v>510000</v>
      </c>
      <c r="E6" s="2" t="s">
        <v>18</v>
      </c>
      <c r="F6" s="2" t="s">
        <v>14</v>
      </c>
    </row>
    <row r="7" spans="1:7" x14ac:dyDescent="0.25">
      <c r="A7" s="3">
        <v>106</v>
      </c>
      <c r="B7" s="3" t="s">
        <v>19</v>
      </c>
      <c r="C7" s="3">
        <v>27</v>
      </c>
      <c r="D7" s="3">
        <v>41000</v>
      </c>
      <c r="E7" s="3" t="s">
        <v>20</v>
      </c>
      <c r="F7" s="3" t="s">
        <v>8</v>
      </c>
    </row>
    <row r="8" spans="1:7" x14ac:dyDescent="0.25">
      <c r="A8" s="2">
        <v>107</v>
      </c>
      <c r="B8" s="2" t="s">
        <v>21</v>
      </c>
      <c r="C8" s="2">
        <v>26</v>
      </c>
      <c r="D8" s="2">
        <v>51000</v>
      </c>
      <c r="E8" s="2" t="s">
        <v>22</v>
      </c>
      <c r="F8" s="2" t="s">
        <v>14</v>
      </c>
    </row>
    <row r="9" spans="1:7" x14ac:dyDescent="0.25">
      <c r="A9" s="3">
        <v>108</v>
      </c>
      <c r="B9" s="3" t="s">
        <v>23</v>
      </c>
      <c r="C9" s="3">
        <v>24</v>
      </c>
      <c r="D9" s="3">
        <v>65000</v>
      </c>
      <c r="E9" s="3" t="s">
        <v>24</v>
      </c>
      <c r="F9" s="3" t="s">
        <v>11</v>
      </c>
    </row>
    <row r="10" spans="1:7" x14ac:dyDescent="0.25">
      <c r="A10" s="2">
        <v>109</v>
      </c>
      <c r="B10" s="2" t="s">
        <v>21</v>
      </c>
      <c r="C10" s="2">
        <v>28</v>
      </c>
      <c r="D10" s="2">
        <v>4900099</v>
      </c>
      <c r="E10" s="2" t="s">
        <v>25</v>
      </c>
      <c r="F10" s="2" t="s">
        <v>8</v>
      </c>
    </row>
    <row r="13" spans="1:7" x14ac:dyDescent="0.25">
      <c r="A13" t="s">
        <v>29</v>
      </c>
      <c r="B13">
        <f>SUMIF(F2:F10,"mumbai",D2:D10)</f>
        <v>155000</v>
      </c>
      <c r="D13">
        <f>D3+D5+D9</f>
        <v>155000</v>
      </c>
    </row>
    <row r="14" spans="1:7" x14ac:dyDescent="0.25">
      <c r="A14" t="s">
        <v>31</v>
      </c>
      <c r="B14">
        <f>SUMIF(C2:C10,"&gt;25",D2:D10)</f>
        <v>5626099.9000000004</v>
      </c>
      <c r="D14">
        <f>D10+D8+D7+D6+D4+D3+D2</f>
        <v>5626099.9000000004</v>
      </c>
    </row>
    <row r="16" spans="1:7" x14ac:dyDescent="0.25">
      <c r="A16" t="s">
        <v>30</v>
      </c>
      <c r="B16" t="s">
        <v>32</v>
      </c>
      <c r="C16">
        <f>SUMIFS(D2:D10,C2:C10,"&lt;25",F2:F10,"mumbai")</f>
        <v>99000</v>
      </c>
    </row>
    <row r="17" spans="3:3" x14ac:dyDescent="0.25">
      <c r="C17">
        <f>AVERAGEIF(F2:F10,"mumbai",D2:D10)</f>
        <v>51666.666666666664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16E0-8D69-4951-B44D-E6BD2BB2D2FE}">
  <dimension ref="A1:F17"/>
  <sheetViews>
    <sheetView workbookViewId="0">
      <selection sqref="A1:A5"/>
    </sheetView>
  </sheetViews>
  <sheetFormatPr defaultRowHeight="15" x14ac:dyDescent="0.25"/>
  <cols>
    <col min="1" max="3" width="12.7109375" customWidth="1"/>
    <col min="6" max="6" width="29.42578125" customWidth="1"/>
  </cols>
  <sheetData>
    <row r="1" spans="1:6" x14ac:dyDescent="0.25">
      <c r="A1" s="1" t="s">
        <v>0</v>
      </c>
      <c r="B1" s="1" t="s">
        <v>34</v>
      </c>
      <c r="C1" s="1" t="s">
        <v>41</v>
      </c>
    </row>
    <row r="2" spans="1:6" x14ac:dyDescent="0.25">
      <c r="A2" s="2">
        <v>101</v>
      </c>
      <c r="B2" s="2">
        <v>78</v>
      </c>
      <c r="C2" s="2" t="str">
        <f>IF(B2&gt;=75,"A",IF(B2&gt;=60,"B",IF(B2&gt;=50,"C","fail")))</f>
        <v>A</v>
      </c>
    </row>
    <row r="3" spans="1:6" x14ac:dyDescent="0.25">
      <c r="A3" s="3">
        <v>102</v>
      </c>
      <c r="B3" s="3">
        <v>90</v>
      </c>
      <c r="C3" s="3" t="str">
        <f t="shared" ref="C3:C8" si="0">IF(B3&gt;=75,"A",IF(B3&gt;=60,"B",IF(B3&gt;=50,"C","fail")))</f>
        <v>A</v>
      </c>
    </row>
    <row r="4" spans="1:6" x14ac:dyDescent="0.25">
      <c r="A4" s="2">
        <v>103</v>
      </c>
      <c r="B4" s="2">
        <v>45</v>
      </c>
      <c r="C4" s="2" t="str">
        <f t="shared" si="0"/>
        <v>fail</v>
      </c>
    </row>
    <row r="5" spans="1:6" x14ac:dyDescent="0.25">
      <c r="A5" s="3">
        <v>104</v>
      </c>
      <c r="B5" s="3">
        <v>68</v>
      </c>
      <c r="C5" s="3" t="str">
        <f t="shared" si="0"/>
        <v>B</v>
      </c>
    </row>
    <row r="6" spans="1:6" x14ac:dyDescent="0.25">
      <c r="A6" s="2">
        <v>105</v>
      </c>
      <c r="B6" s="2">
        <v>56</v>
      </c>
      <c r="C6" s="2" t="str">
        <f t="shared" si="0"/>
        <v>C</v>
      </c>
    </row>
    <row r="7" spans="1:6" x14ac:dyDescent="0.25">
      <c r="A7" s="3">
        <v>106</v>
      </c>
      <c r="B7" s="3">
        <v>98</v>
      </c>
      <c r="C7" s="3" t="str">
        <f t="shared" si="0"/>
        <v>A</v>
      </c>
    </row>
    <row r="8" spans="1:6" x14ac:dyDescent="0.25">
      <c r="A8" s="2">
        <v>107</v>
      </c>
      <c r="B8" s="2">
        <v>60</v>
      </c>
      <c r="C8" s="2" t="str">
        <f t="shared" si="0"/>
        <v>B</v>
      </c>
    </row>
    <row r="12" spans="1:6" ht="23.25" x14ac:dyDescent="0.35">
      <c r="E12" s="6" t="s">
        <v>35</v>
      </c>
      <c r="F12" s="6"/>
    </row>
    <row r="13" spans="1:6" ht="23.25" x14ac:dyDescent="0.35">
      <c r="E13" s="7" t="s">
        <v>36</v>
      </c>
      <c r="F13" s="7"/>
    </row>
    <row r="14" spans="1:6" ht="23.25" x14ac:dyDescent="0.35">
      <c r="E14" s="7" t="s">
        <v>40</v>
      </c>
      <c r="F14" s="7"/>
    </row>
    <row r="15" spans="1:6" ht="23.25" x14ac:dyDescent="0.35">
      <c r="E15" s="7" t="s">
        <v>39</v>
      </c>
      <c r="F15" s="7"/>
    </row>
    <row r="16" spans="1:6" ht="23.25" x14ac:dyDescent="0.35">
      <c r="E16" s="8" t="s">
        <v>37</v>
      </c>
      <c r="F16" s="8"/>
    </row>
    <row r="17" spans="5:6" ht="23.25" x14ac:dyDescent="0.35">
      <c r="E17" s="8" t="s">
        <v>38</v>
      </c>
      <c r="F17" s="8"/>
    </row>
  </sheetData>
  <mergeCells count="5">
    <mergeCell ref="E13:F13"/>
    <mergeCell ref="E14:F14"/>
    <mergeCell ref="E15:F15"/>
    <mergeCell ref="E16:F16"/>
    <mergeCell ref="E17:F1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92E28-6D50-4460-9201-1A2BB326FDC7}">
  <dimension ref="A1:G15"/>
  <sheetViews>
    <sheetView workbookViewId="0">
      <selection activeCell="G2" sqref="G2:G5"/>
    </sheetView>
  </sheetViews>
  <sheetFormatPr defaultRowHeight="15" x14ac:dyDescent="0.25"/>
  <cols>
    <col min="1" max="5" width="17.85546875" customWidth="1"/>
    <col min="6" max="6" width="22.42578125" customWidth="1"/>
    <col min="7" max="7" width="23.42578125" customWidth="1"/>
  </cols>
  <sheetData>
    <row r="1" spans="1:7" x14ac:dyDescent="0.25">
      <c r="A1" s="1" t="s">
        <v>0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48</v>
      </c>
      <c r="G1" s="11" t="s">
        <v>51</v>
      </c>
    </row>
    <row r="2" spans="1:7" x14ac:dyDescent="0.25">
      <c r="A2" s="2">
        <v>101</v>
      </c>
      <c r="B2" s="2">
        <v>45</v>
      </c>
      <c r="C2" s="2">
        <v>67</v>
      </c>
      <c r="D2" s="2">
        <v>89</v>
      </c>
      <c r="E2" s="2" t="b">
        <f>AND(B2&gt;=40,C2&gt;=40,D2&gt;=40)</f>
        <v>1</v>
      </c>
      <c r="F2" s="2" t="str">
        <f>IF(AND(B2&gt;=40,C2&gt;=40,D2&gt;=40),"Pass","Fail")</f>
        <v>Pass</v>
      </c>
      <c r="G2" t="b">
        <f>OR(B2&gt;=40,C2&gt;=40,D2&gt;=40)</f>
        <v>1</v>
      </c>
    </row>
    <row r="3" spans="1:7" x14ac:dyDescent="0.25">
      <c r="A3" s="3">
        <v>102</v>
      </c>
      <c r="B3" s="3">
        <v>67</v>
      </c>
      <c r="C3" s="3">
        <v>34</v>
      </c>
      <c r="D3" s="3">
        <v>65</v>
      </c>
      <c r="E3" s="3" t="b">
        <f t="shared" ref="E3:E5" si="0">AND(B3&gt;=40,C3&gt;=40,D3&gt;=40)</f>
        <v>0</v>
      </c>
      <c r="F3" s="3" t="str">
        <f t="shared" ref="F3:F5" si="1">IF(AND(B3&gt;=40,C3&gt;=40,D3&gt;=40),"Pass","Fail")</f>
        <v>Fail</v>
      </c>
      <c r="G3" t="b">
        <f t="shared" ref="G3:G5" si="2">OR(B3&gt;=40,C3&gt;=40,D3&gt;=40)</f>
        <v>1</v>
      </c>
    </row>
    <row r="4" spans="1:7" x14ac:dyDescent="0.25">
      <c r="A4" s="2">
        <v>103</v>
      </c>
      <c r="B4" s="2">
        <v>50</v>
      </c>
      <c r="C4" s="2">
        <v>58</v>
      </c>
      <c r="D4" s="2">
        <v>34</v>
      </c>
      <c r="E4" s="2" t="b">
        <f t="shared" si="0"/>
        <v>0</v>
      </c>
      <c r="F4" s="2" t="str">
        <f t="shared" si="1"/>
        <v>Fail</v>
      </c>
      <c r="G4" t="b">
        <f t="shared" si="2"/>
        <v>1</v>
      </c>
    </row>
    <row r="5" spans="1:7" x14ac:dyDescent="0.25">
      <c r="A5" s="3">
        <v>104</v>
      </c>
      <c r="B5" s="3">
        <v>67</v>
      </c>
      <c r="C5" s="3">
        <v>49</v>
      </c>
      <c r="D5" s="3">
        <v>89</v>
      </c>
      <c r="E5" s="3" t="b">
        <f t="shared" si="0"/>
        <v>1</v>
      </c>
      <c r="F5" s="3" t="str">
        <f t="shared" si="1"/>
        <v>Pass</v>
      </c>
      <c r="G5" t="b">
        <f t="shared" si="2"/>
        <v>1</v>
      </c>
    </row>
    <row r="10" spans="1:7" ht="35.25" customHeight="1" x14ac:dyDescent="0.45">
      <c r="B10" s="12" t="s">
        <v>46</v>
      </c>
      <c r="C10" s="12"/>
      <c r="D10" s="12"/>
      <c r="E10" s="12"/>
      <c r="F10" s="12"/>
      <c r="G10" s="12"/>
    </row>
    <row r="11" spans="1:7" ht="42" customHeight="1" x14ac:dyDescent="0.5">
      <c r="B11" s="13" t="s">
        <v>47</v>
      </c>
      <c r="C11" s="13"/>
      <c r="D11" s="13"/>
      <c r="E11" s="13"/>
    </row>
    <row r="14" spans="1:7" ht="26.25" customHeight="1" x14ac:dyDescent="0.3">
      <c r="B14" s="10" t="s">
        <v>49</v>
      </c>
      <c r="C14" s="10"/>
      <c r="D14" s="10"/>
      <c r="E14" s="10"/>
      <c r="F14" s="10"/>
    </row>
    <row r="15" spans="1:7" x14ac:dyDescent="0.25">
      <c r="B15" t="s">
        <v>50</v>
      </c>
    </row>
  </sheetData>
  <mergeCells count="3">
    <mergeCell ref="B10:G10"/>
    <mergeCell ref="B11:E11"/>
    <mergeCell ref="B14:F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Employee</vt:lpstr>
      <vt:lpstr>Sheet4</vt:lpstr>
      <vt:lpstr>Sheet5</vt:lpstr>
      <vt:lpstr>Sheet6</vt:lpstr>
      <vt:lpstr>Sheet7</vt:lpstr>
      <vt:lpstr>Sheet8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dakshpore11@outlook.com</cp:lastModifiedBy>
  <dcterms:created xsi:type="dcterms:W3CDTF">2026-06-11T12:36:21Z</dcterms:created>
  <dcterms:modified xsi:type="dcterms:W3CDTF">2026-06-17T13:28:05Z</dcterms:modified>
</cp:coreProperties>
</file>